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ocTap\CuuAmChanKinh\Tools\Excel\example\"/>
    </mc:Choice>
  </mc:AlternateContent>
  <xr:revisionPtr revIDLastSave="0" documentId="13_ncr:1_{83B89909-0AE2-41E5-9CF8-802B29ACDDA2}" xr6:coauthVersionLast="47" xr6:coauthVersionMax="47" xr10:uidLastSave="{00000000-0000-0000-0000-000000000000}"/>
  <bookViews>
    <workbookView xWindow="0" yWindow="0" windowWidth="10395" windowHeight="10905" activeTab="1" xr2:uid="{71638CA7-E4E5-4080-97DC-0F866E384827}"/>
  </bookViews>
  <sheets>
    <sheet name="Sheet1" sheetId="1" r:id="rId1"/>
    <sheet name="Sheet4" sheetId="4" r:id="rId2"/>
  </sheets>
  <definedNames>
    <definedName name="_xlnm._FilterDatabase" localSheetId="1" hidden="1">Sheet4!$J$2:$P$14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4" l="1" a="1"/>
  <c r="I17" i="4" s="1"/>
  <c r="K17" i="4"/>
  <c r="L18" i="4"/>
  <c r="L17" i="4"/>
  <c r="K19" i="4"/>
  <c r="J20" i="4"/>
  <c r="I21" i="4"/>
  <c r="K18" i="4"/>
  <c r="J18" i="4" a="1"/>
  <c r="J18" i="4" s="1"/>
  <c r="L21" i="4"/>
  <c r="L20" i="4"/>
  <c r="N18" i="4"/>
  <c r="M19" i="4"/>
  <c r="W5" i="4"/>
  <c r="W6" i="4"/>
  <c r="W7" i="4"/>
  <c r="W8" i="4"/>
  <c r="W4" i="4"/>
  <c r="V5" i="4"/>
  <c r="V6" i="4"/>
  <c r="V7" i="4"/>
  <c r="V8" i="4"/>
  <c r="V4" i="4"/>
  <c r="N15" i="4"/>
  <c r="K15" i="4"/>
  <c r="M4" i="4"/>
  <c r="P4" i="4" s="1"/>
  <c r="M5" i="4"/>
  <c r="P5" i="4" s="1"/>
  <c r="M6" i="4"/>
  <c r="P6" i="4" s="1"/>
  <c r="M7" i="4"/>
  <c r="P7" i="4" s="1"/>
  <c r="M8" i="4"/>
  <c r="P8" i="4" s="1"/>
  <c r="M9" i="4"/>
  <c r="P9" i="4" s="1"/>
  <c r="M14" i="4"/>
  <c r="P14" i="4" s="1"/>
  <c r="M10" i="4"/>
  <c r="P10" i="4" s="1"/>
  <c r="M11" i="4"/>
  <c r="P11" i="4" s="1"/>
  <c r="M12" i="4"/>
  <c r="P12" i="4" s="1"/>
  <c r="M13" i="4"/>
  <c r="P13" i="4" s="1"/>
  <c r="M3" i="4"/>
  <c r="P3" i="4" s="1"/>
  <c r="P15" i="4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<sst xmlns="http://schemas.openxmlformats.org/spreadsheetml/2006/main" count="29" uniqueCount="27">
  <si>
    <t>STT</t>
  </si>
  <si>
    <t>Họ tên</t>
  </si>
  <si>
    <t>Ngày sinh</t>
  </si>
  <si>
    <t>Điểm</t>
  </si>
  <si>
    <t>Danh sách sinh viên</t>
  </si>
  <si>
    <t>Lương cơ bản</t>
  </si>
  <si>
    <t>Ngày công</t>
  </si>
  <si>
    <t>Lương tháng</t>
  </si>
  <si>
    <t>Phụ cấp</t>
  </si>
  <si>
    <t>Tạm ứng</t>
  </si>
  <si>
    <t>Lương chính</t>
  </si>
  <si>
    <t>Bảng lương nhân viên tháng 12/2023</t>
  </si>
  <si>
    <t xml:space="preserve"> </t>
  </si>
  <si>
    <t>Tổng cộng</t>
  </si>
  <si>
    <t>Nguyễn Văn A</t>
  </si>
  <si>
    <t>Nguyễn Văn D</t>
  </si>
  <si>
    <t>Nguyễn Văn G</t>
  </si>
  <si>
    <t>Nguyễn Văn I</t>
  </si>
  <si>
    <t>Nguyễn Văn J</t>
  </si>
  <si>
    <t>Hòang Văn B</t>
  </si>
  <si>
    <t>Lý Văn F</t>
  </si>
  <si>
    <t>Lê Văn M</t>
  </si>
  <si>
    <t>Trần Văn K</t>
  </si>
  <si>
    <t>Đào Văn E</t>
  </si>
  <si>
    <t>Phạm Văn C</t>
  </si>
  <si>
    <t>Đỗ Văn T</t>
  </si>
  <si>
    <t>Ngày vô làm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</si>
</sst>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d/m/yyyy;@"/>
    <numFmt numFmtId="165" formatCode="#,##0\ [$VND]"/>
    <numFmt numFmtId="167" formatCode="[$-1010409]d\ mmm\ yy;@"/>
    <numFmt numFmtId="168" formatCode="[$-1010409]d\ mmmm\ yyyy;@"/>
  </numFmts>
  <fonts count="4" x14ac:knownFonts="1">
    <font>
      <sz val="11"/>
      <color theme="1"/>
      <name val="Aptos Narrow"/>
      <family val="2"/>
      <charset val="163"/>
      <scheme val="minor"/>
    </font>
    <font>
      <sz val="8"/>
      <name val="Aptos Narrow"/>
      <family val="2"/>
      <charset val="163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/>
    <xf numFmtId="3" fontId="2" fillId="2" borderId="1" xfId="0" applyNumberFormat="1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0" fontId="3" fillId="0" borderId="1" xfId="0" applyFont="1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4" fontId="0" fillId="0" borderId="0" xfId="0" applyNumberFormat="1"/>
    <xf numFmtId="167" fontId="0" fillId="0" borderId="0" xfId="0" applyNumberFormat="1"/>
    <xf numFmtId="168" fontId="0" fillId="0" borderId="0" xfId="0" applyNumberFormat="1"/>
    <xf numFmtId="22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47AD7-6D1E-472C-8105-3C8C2D609E33}">
  <dimension ref="A1"/>
  <sheetViews>
    <sheetView workbookViewId="0">
      <selection activeCell="D9" sqref="D9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F6D87-2088-4667-A25D-150CCBC6E22D}">
  <dimension ref="B1:W21"/>
  <sheetViews>
    <sheetView tabSelected="1" topLeftCell="G1" workbookViewId="0">
      <selection activeCell="I18" sqref="I18"/>
    </sheetView>
  </sheetViews>
  <sheetFormatPr defaultRowHeight="15" x14ac:dyDescent="0.25"/>
  <cols>
    <col min="4" max="4" width="11.42578125" customWidth="1"/>
    <col min="8" max="8" width="4.140625" bestFit="1" customWidth="1"/>
    <col min="9" max="9" width="11.7109375" bestFit="1" customWidth="1"/>
    <col min="10" max="11" width="13.5703125" bestFit="1" customWidth="1"/>
    <col min="12" max="12" width="15.5703125" bestFit="1" customWidth="1"/>
    <col min="13" max="13" width="12" bestFit="1" customWidth="1"/>
    <col min="15" max="15" width="8.5703125" bestFit="1" customWidth="1"/>
    <col min="16" max="16" width="11.7109375" bestFit="1" customWidth="1"/>
    <col min="19" max="19" width="15.7109375" bestFit="1" customWidth="1"/>
    <col min="20" max="20" width="13.85546875" bestFit="1" customWidth="1"/>
  </cols>
  <sheetData>
    <row r="1" spans="2:23" x14ac:dyDescent="0.25">
      <c r="H1" s="11" t="s">
        <v>11</v>
      </c>
      <c r="I1" s="11"/>
      <c r="J1" s="11"/>
      <c r="K1" s="11"/>
      <c r="L1" s="11"/>
      <c r="M1" s="11"/>
      <c r="N1" s="11"/>
      <c r="O1" s="11"/>
      <c r="P1" s="11"/>
    </row>
    <row r="2" spans="2:23" ht="27.75" customHeight="1" x14ac:dyDescent="0.25">
      <c r="H2" s="4" t="s">
        <v>0</v>
      </c>
      <c r="I2" s="4" t="s">
        <v>26</v>
      </c>
      <c r="J2" s="4" t="s">
        <v>1</v>
      </c>
      <c r="K2" s="4" t="s">
        <v>5</v>
      </c>
      <c r="L2" s="4" t="s">
        <v>6</v>
      </c>
      <c r="M2" s="4" t="s">
        <v>7</v>
      </c>
      <c r="N2" s="4" t="s">
        <v>8</v>
      </c>
      <c r="O2" s="4" t="s">
        <v>9</v>
      </c>
      <c r="P2" s="4" t="s">
        <v>10</v>
      </c>
    </row>
    <row r="3" spans="2:23" x14ac:dyDescent="0.25">
      <c r="B3" s="10" t="s">
        <v>4</v>
      </c>
      <c r="C3" s="10"/>
      <c r="D3" s="10"/>
      <c r="E3" s="10"/>
      <c r="H3" s="1">
        <v>1</v>
      </c>
      <c r="I3" s="12">
        <v>45666</v>
      </c>
      <c r="J3" s="2" t="s">
        <v>23</v>
      </c>
      <c r="K3" s="8">
        <v>1200000</v>
      </c>
      <c r="L3" s="2">
        <v>21</v>
      </c>
      <c r="M3" s="3">
        <f>K3/26*L3</f>
        <v>969230.76923076925</v>
      </c>
      <c r="N3" s="3">
        <v>200000</v>
      </c>
      <c r="O3" s="2"/>
      <c r="P3" s="3">
        <f>M3+N3-O3</f>
        <v>1169230.7692307692</v>
      </c>
    </row>
    <row r="4" spans="2:23" ht="18.75" customHeight="1" x14ac:dyDescent="0.25">
      <c r="B4" s="2" t="s">
        <v>0</v>
      </c>
      <c r="C4" s="2" t="s">
        <v>1</v>
      </c>
      <c r="D4" s="2" t="s">
        <v>2</v>
      </c>
      <c r="E4" s="2" t="s">
        <v>3</v>
      </c>
      <c r="H4" s="1">
        <v>2</v>
      </c>
      <c r="I4" s="12">
        <v>45568</v>
      </c>
      <c r="J4" s="2" t="s">
        <v>25</v>
      </c>
      <c r="K4" s="8">
        <v>1100000</v>
      </c>
      <c r="L4" s="2">
        <v>23</v>
      </c>
      <c r="M4" s="3">
        <f>K4/26*L4</f>
        <v>973076.92307692301</v>
      </c>
      <c r="N4" s="3">
        <v>350000</v>
      </c>
      <c r="O4" s="3">
        <v>500000</v>
      </c>
      <c r="P4" s="3">
        <f>M4+N4-O4</f>
        <v>823076.92307692301</v>
      </c>
      <c r="S4" s="13">
        <v>1</v>
      </c>
      <c r="T4" s="13">
        <v>5</v>
      </c>
      <c r="V4">
        <f>T4-S4</f>
        <v>4</v>
      </c>
      <c r="W4" t="b">
        <f>IF(AND(S4=T4),TRUE,FALSE)</f>
        <v>0</v>
      </c>
    </row>
    <row r="5" spans="2:23" x14ac:dyDescent="0.25">
      <c r="B5" s="2">
        <v>1</v>
      </c>
      <c r="C5" s="2"/>
      <c r="D5" s="7">
        <v>45945</v>
      </c>
      <c r="E5" s="2"/>
      <c r="H5" s="1">
        <v>3</v>
      </c>
      <c r="I5" s="12">
        <v>45175</v>
      </c>
      <c r="J5" s="2" t="s">
        <v>19</v>
      </c>
      <c r="K5" s="8">
        <v>1400000</v>
      </c>
      <c r="L5" s="2">
        <v>25</v>
      </c>
      <c r="M5" s="3">
        <f>K5/26*L5</f>
        <v>1346153.846153846</v>
      </c>
      <c r="N5" s="3">
        <v>210000</v>
      </c>
      <c r="O5" s="3">
        <v>700000</v>
      </c>
      <c r="P5" s="3">
        <f>M5+N5-O5</f>
        <v>856153.84615384601</v>
      </c>
      <c r="S5" s="14">
        <v>3</v>
      </c>
      <c r="T5" s="14">
        <v>3</v>
      </c>
      <c r="V5">
        <f t="shared" ref="V5:V8" si="0">T5-S5</f>
        <v>0</v>
      </c>
      <c r="W5" t="b">
        <f t="shared" ref="W5:W8" si="1">IF(AND(S5=T5),TRUE,FALSE)</f>
        <v>1</v>
      </c>
    </row>
    <row r="6" spans="2:23" x14ac:dyDescent="0.25">
      <c r="B6" s="2">
        <v>2</v>
      </c>
      <c r="C6" s="2"/>
      <c r="D6" s="2"/>
      <c r="E6" s="2"/>
      <c r="H6" s="1">
        <v>4</v>
      </c>
      <c r="I6" s="12">
        <v>45174</v>
      </c>
      <c r="J6" s="2" t="s">
        <v>21</v>
      </c>
      <c r="K6" s="8">
        <v>1100000</v>
      </c>
      <c r="L6" s="2">
        <v>24</v>
      </c>
      <c r="M6" s="3">
        <f>K6/26*L6</f>
        <v>1015384.6153846153</v>
      </c>
      <c r="N6" s="3">
        <v>230000</v>
      </c>
      <c r="O6" s="2"/>
      <c r="P6" s="3">
        <f>M6+N6-O6</f>
        <v>1245384.6153846153</v>
      </c>
      <c r="S6" s="13">
        <v>13</v>
      </c>
      <c r="T6" s="13">
        <v>6</v>
      </c>
      <c r="V6">
        <f t="shared" si="0"/>
        <v>-7</v>
      </c>
      <c r="W6" t="b">
        <f t="shared" si="1"/>
        <v>0</v>
      </c>
    </row>
    <row r="7" spans="2:23" x14ac:dyDescent="0.25">
      <c r="B7" s="2">
        <v>3</v>
      </c>
      <c r="C7" s="2"/>
      <c r="D7" s="2"/>
      <c r="E7" s="2"/>
      <c r="H7" s="1">
        <v>5</v>
      </c>
      <c r="I7" s="12">
        <v>45349</v>
      </c>
      <c r="J7" s="2" t="s">
        <v>20</v>
      </c>
      <c r="K7" s="8">
        <v>1100000</v>
      </c>
      <c r="L7" s="2">
        <v>20</v>
      </c>
      <c r="M7" s="3">
        <f>K7/26*L7</f>
        <v>846153.84615384613</v>
      </c>
      <c r="N7" s="2"/>
      <c r="O7" s="2"/>
      <c r="P7" s="3">
        <f>M7+N7-O7</f>
        <v>846153.84615384613</v>
      </c>
      <c r="S7" s="15">
        <v>45</v>
      </c>
      <c r="T7" s="15">
        <v>7</v>
      </c>
      <c r="V7">
        <f t="shared" si="0"/>
        <v>-38</v>
      </c>
      <c r="W7" t="b">
        <f t="shared" si="1"/>
        <v>0</v>
      </c>
    </row>
    <row r="8" spans="2:23" x14ac:dyDescent="0.25">
      <c r="B8" s="2">
        <v>4</v>
      </c>
      <c r="C8" s="2"/>
      <c r="D8" s="2"/>
      <c r="E8" s="2"/>
      <c r="H8" s="1">
        <v>6</v>
      </c>
      <c r="I8" s="12">
        <v>45427</v>
      </c>
      <c r="J8" s="9" t="s">
        <v>14</v>
      </c>
      <c r="K8" s="8">
        <v>1500000</v>
      </c>
      <c r="L8" s="2">
        <v>23</v>
      </c>
      <c r="M8" s="3">
        <f>K8/26*L8</f>
        <v>1326923.076923077</v>
      </c>
      <c r="N8" s="2"/>
      <c r="O8" s="2"/>
      <c r="P8" s="3">
        <f>M8+N8-O8</f>
        <v>1326923.076923077</v>
      </c>
      <c r="S8" s="15">
        <v>34</v>
      </c>
      <c r="T8" s="15">
        <v>2</v>
      </c>
      <c r="V8">
        <f t="shared" si="0"/>
        <v>-32</v>
      </c>
      <c r="W8" t="b">
        <f t="shared" si="1"/>
        <v>0</v>
      </c>
    </row>
    <row r="9" spans="2:23" x14ac:dyDescent="0.25">
      <c r="B9" s="2">
        <v>5</v>
      </c>
      <c r="C9" s="2"/>
      <c r="D9" s="2"/>
      <c r="E9" s="2"/>
      <c r="H9" s="1">
        <v>7</v>
      </c>
      <c r="I9" s="12">
        <v>45644</v>
      </c>
      <c r="J9" s="2" t="s">
        <v>15</v>
      </c>
      <c r="K9" s="8">
        <v>1100000</v>
      </c>
      <c r="L9" s="2">
        <v>24</v>
      </c>
      <c r="M9" s="3">
        <f>K9/26*L9</f>
        <v>1015384.6153846153</v>
      </c>
      <c r="N9" s="3">
        <v>200000</v>
      </c>
      <c r="O9" s="3">
        <v>400000</v>
      </c>
      <c r="P9" s="3">
        <f>M9+N9-O9</f>
        <v>815384.61538461526</v>
      </c>
    </row>
    <row r="10" spans="2:23" x14ac:dyDescent="0.25">
      <c r="B10" s="2">
        <v>6</v>
      </c>
      <c r="C10" s="2"/>
      <c r="D10" s="2"/>
      <c r="E10" s="2"/>
      <c r="H10" s="1">
        <v>9</v>
      </c>
      <c r="I10" s="12">
        <v>45051</v>
      </c>
      <c r="J10" s="2" t="s">
        <v>16</v>
      </c>
      <c r="K10" s="8">
        <v>1100000</v>
      </c>
      <c r="L10" s="2">
        <v>26</v>
      </c>
      <c r="M10" s="3">
        <f>K10/26*L10</f>
        <v>1100000</v>
      </c>
      <c r="N10" s="3">
        <v>240000</v>
      </c>
      <c r="O10" s="2"/>
      <c r="P10" s="3">
        <f>M10+N10-O10</f>
        <v>1340000</v>
      </c>
    </row>
    <row r="11" spans="2:23" x14ac:dyDescent="0.25">
      <c r="H11" s="1">
        <v>10</v>
      </c>
      <c r="I11" s="12">
        <v>44758</v>
      </c>
      <c r="J11" s="2" t="s">
        <v>17</v>
      </c>
      <c r="K11" s="8">
        <v>1100000</v>
      </c>
      <c r="L11" s="2">
        <v>24</v>
      </c>
      <c r="M11" s="3">
        <f>K11/26*L11</f>
        <v>1015384.6153846153</v>
      </c>
      <c r="N11" s="3">
        <v>250000</v>
      </c>
      <c r="O11" s="2"/>
      <c r="P11" s="3">
        <f>M11+N11-O11</f>
        <v>1265384.6153846153</v>
      </c>
    </row>
    <row r="12" spans="2:23" x14ac:dyDescent="0.25">
      <c r="H12" s="1">
        <v>11</v>
      </c>
      <c r="I12" s="12">
        <v>45549</v>
      </c>
      <c r="J12" s="2" t="s">
        <v>18</v>
      </c>
      <c r="K12" s="8">
        <v>1100000</v>
      </c>
      <c r="L12" s="2">
        <v>25</v>
      </c>
      <c r="M12" s="3">
        <f>K12/26*L12</f>
        <v>1057692.3076923075</v>
      </c>
      <c r="N12" s="2"/>
      <c r="O12" s="2"/>
      <c r="P12" s="3">
        <f>M12+N12-O12</f>
        <v>1057692.3076923075</v>
      </c>
    </row>
    <row r="13" spans="2:23" x14ac:dyDescent="0.25">
      <c r="H13" s="1">
        <v>12</v>
      </c>
      <c r="I13" s="12">
        <v>45214</v>
      </c>
      <c r="J13" s="2" t="s">
        <v>24</v>
      </c>
      <c r="K13" s="8">
        <v>1300000</v>
      </c>
      <c r="L13" s="2">
        <v>26</v>
      </c>
      <c r="M13" s="3">
        <f>K13/26*L13</f>
        <v>1300000</v>
      </c>
      <c r="N13" s="2"/>
      <c r="O13" s="2"/>
      <c r="P13" s="3">
        <f>M13+N13-O13</f>
        <v>1300000</v>
      </c>
    </row>
    <row r="14" spans="2:23" x14ac:dyDescent="0.25">
      <c r="H14" s="1">
        <v>8</v>
      </c>
      <c r="I14" s="12">
        <v>44562</v>
      </c>
      <c r="J14" s="2" t="s">
        <v>22</v>
      </c>
      <c r="K14" s="8">
        <v>1100000</v>
      </c>
      <c r="L14" s="2">
        <v>20</v>
      </c>
      <c r="M14" s="3">
        <f>K14/26*L14</f>
        <v>846153.84615384613</v>
      </c>
      <c r="N14" s="2"/>
      <c r="O14" s="2"/>
      <c r="P14" s="3">
        <f>M14+N14-O14</f>
        <v>846153.84615384613</v>
      </c>
    </row>
    <row r="15" spans="2:23" x14ac:dyDescent="0.25">
      <c r="H15" s="5" t="s">
        <v>12</v>
      </c>
      <c r="I15" s="5"/>
      <c r="J15" s="5" t="s">
        <v>13</v>
      </c>
      <c r="K15" s="6">
        <f>SUM(K3:K14)</f>
        <v>14200000</v>
      </c>
      <c r="L15" s="5"/>
      <c r="M15" s="5"/>
      <c r="N15" s="6">
        <f>SUM(N3:N14)</f>
        <v>1680000</v>
      </c>
      <c r="O15" s="5"/>
      <c r="P15" s="6">
        <f>SUM(P3:P14)</f>
        <v>12891538.461538462</v>
      </c>
    </row>
    <row r="17" spans="9:14" x14ac:dyDescent="0.25">
      <c r="I17" t="e" cm="1">
        <f t="array" aca="1" ref="I17" ca="1">reft(J10)</f>
        <v>#NAME?</v>
      </c>
      <c r="K17" t="str">
        <f>MID(J8,5,3)</f>
        <v xml:space="preserve">ễn </v>
      </c>
      <c r="L17" t="str">
        <f>LEFT(J5,5)</f>
        <v>Hòang</v>
      </c>
    </row>
    <row r="18" spans="9:14" x14ac:dyDescent="0.25">
      <c r="J18" t="e" cm="1">
        <f t="array" ref="J18">INDEX(H3:N14,I5,K7)</f>
        <v>#REF!</v>
      </c>
      <c r="K18">
        <f>COUNTA(M3:M14)</f>
        <v>12</v>
      </c>
      <c r="L18" t="str">
        <f>LOWER(J7)</f>
        <v>lý văn f</v>
      </c>
      <c r="N18">
        <f>DAY("05-10-2002")</f>
        <v>5</v>
      </c>
    </row>
    <row r="19" spans="9:14" x14ac:dyDescent="0.25">
      <c r="K19">
        <f>RANK(M5,M3:M14,0)</f>
        <v>1</v>
      </c>
      <c r="M19">
        <f>DATEVALUE("05-10-2002")</f>
        <v>37534</v>
      </c>
    </row>
    <row r="20" spans="9:14" x14ac:dyDescent="0.25">
      <c r="J20" t="e">
        <f>MODE(H3:H14)</f>
        <v>#N/A</v>
      </c>
      <c r="L20" s="16">
        <f ca="1">NOW()</f>
        <v>45853.911224768519</v>
      </c>
    </row>
    <row r="21" spans="9:14" x14ac:dyDescent="0.25">
      <c r="I21" s="17">
        <f>MAX(M3:M14)</f>
        <v>1346153.846153846</v>
      </c>
      <c r="L21" s="13">
        <f ca="1">TODAY()</f>
        <v>45853</v>
      </c>
    </row>
  </sheetData>
  <sortState xmlns:xlrd2="http://schemas.microsoft.com/office/spreadsheetml/2017/richdata2" ref="J3:L14">
    <sortCondition ref="J3:J14"/>
    <sortCondition ref="K3:K14"/>
    <sortCondition ref="L3:L14"/>
  </sortState>
  <mergeCells count="2">
    <mergeCell ref="B3:E3"/>
    <mergeCell ref="H1:P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 Bảo Phạm</dc:creator>
  <cp:lastModifiedBy>Gia Bảo Phạm</cp:lastModifiedBy>
  <dcterms:created xsi:type="dcterms:W3CDTF">2025-07-11T07:02:08Z</dcterms:created>
  <dcterms:modified xsi:type="dcterms:W3CDTF">2025-07-15T14:53:17Z</dcterms:modified>
</cp:coreProperties>
</file>